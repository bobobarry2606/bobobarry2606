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Économie unitaire" sheetId="3" state="visible" r:id="rId3"/>
    <sheet xmlns:r="http://schemas.openxmlformats.org/officeDocument/2006/relationships" name="Projection 24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CFA&quot;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148F77"/>
      </patternFill>
    </fill>
    <fill>
      <patternFill patternType="solid">
        <fgColor rgb="00FCF3CF"/>
      </patternFill>
    </fill>
    <fill>
      <patternFill patternType="solid">
        <fgColor rgb="00EAF2F8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164" fontId="0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6" borderId="1" pivotButton="0" quotePrefix="0" xfId="0"/>
    <xf numFmtId="166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44" customWidth="1" min="4" max="4"/>
  </cols>
  <sheetData>
    <row r="1" ht="28" customHeight="1">
      <c r="B1" s="1" t="inlineStr">
        <is>
          <t>ScentSenegal — Synthèse (tableau de bord)</t>
        </is>
      </c>
    </row>
    <row r="2">
      <c r="B2" s="2" t="inlineStr">
        <is>
          <t>Tous les chiffres se recalculent quand tu changes une hypothèse.</t>
        </is>
      </c>
    </row>
    <row r="3">
      <c r="B3" s="3" t="inlineStr">
        <is>
          <t>INDICATEURS CLÉS</t>
        </is>
      </c>
      <c r="C3" s="4" t="inlineStr"/>
      <c r="D3" s="4" t="inlineStr"/>
    </row>
    <row r="4">
      <c r="B4" s="5" t="inlineStr">
        <is>
          <t>Trésorerie minimale sur 24 mois</t>
        </is>
      </c>
      <c r="C4" s="6">
        <f>MIN('Projection 24 mois'!B20:Y20)</f>
        <v/>
      </c>
      <c r="D4" s="7" t="inlineStr">
        <is>
          <t>⚠️ Si NÉGATIF : tu manques de cash → ralentis l'acquisition ou augmente l'apport</t>
        </is>
      </c>
    </row>
    <row r="5">
      <c r="B5" s="5" t="inlineStr">
        <is>
          <t>Trésorerie fin de mois 24</t>
        </is>
      </c>
      <c r="C5" s="6">
        <f>'Projection 24 mois'!Y20</f>
        <v/>
      </c>
      <c r="D5" s="7" t="inlineStr">
        <is>
          <t>Cash disponible à la fin</t>
        </is>
      </c>
    </row>
    <row r="6">
      <c r="B6" s="5" t="inlineStr">
        <is>
          <t>Clients actifs fin mois 24</t>
        </is>
      </c>
      <c r="C6" s="8">
        <f>'Projection 24 mois'!Y21</f>
        <v/>
      </c>
      <c r="D6" s="7" t="inlineStr">
        <is>
          <t>Sur 35+ hôtels ciblés</t>
        </is>
      </c>
    </row>
    <row r="7">
      <c r="B7" s="5" t="inlineStr">
        <is>
          <t>Revenu mensuel au mois 24</t>
        </is>
      </c>
      <c r="C7" s="6">
        <f>'Projection 24 mois'!Y12</f>
        <v/>
      </c>
      <c r="D7" s="7" t="inlineStr">
        <is>
          <t>Chiffre d'affaires récurrent</t>
        </is>
      </c>
    </row>
    <row r="8">
      <c r="B8" s="5" t="inlineStr">
        <is>
          <t>Revenu annualisé (mois 24 ×12)</t>
        </is>
      </c>
      <c r="C8" s="6">
        <f>'Projection 24 mois'!Y12*12</f>
        <v/>
      </c>
      <c r="D8" s="7" t="inlineStr"/>
    </row>
    <row r="9">
      <c r="B9" s="5" t="inlineStr">
        <is>
          <t>Marge brute mensuelle au mois 24</t>
        </is>
      </c>
      <c r="C9" s="6">
        <f>'Projection 24 mois'!Y16</f>
        <v/>
      </c>
      <c r="D9" s="7" t="inlineStr">
        <is>
          <t>Profit récurrent hors apport/CapEx</t>
        </is>
      </c>
    </row>
    <row r="10">
      <c r="B10" s="5" t="inlineStr">
        <is>
          <t>Total apport personnel injecté (24 mois)</t>
        </is>
      </c>
      <c r="C10" s="6">
        <f>SUM('Projection 24 mois'!B18:Y18)</f>
        <v/>
      </c>
      <c r="D10" s="7" t="inlineStr">
        <is>
          <t>Ce que ton salaire aura mis dans le business</t>
        </is>
      </c>
    </row>
    <row r="11">
      <c r="B11" s="5" t="inlineStr">
        <is>
          <t>Premier mois où la marge couvre les coûts (marge brute &gt; 0)</t>
        </is>
      </c>
      <c r="C11" s="8">
        <f>IFERROR(MATCH(TRUE,INDEX('Projection 24 mois'!B16:Y16&gt;0,0),0),"n/a")</f>
        <v/>
      </c>
      <c r="D11" s="7" t="inlineStr">
        <is>
          <t>Mois où le business gagne plus qu'il ne dépense en opérationnel</t>
        </is>
      </c>
    </row>
    <row r="13">
      <c r="B13" s="3" t="inlineStr">
        <is>
          <t>COMMENT UTILISER CE FICHIER</t>
        </is>
      </c>
      <c r="C13" s="4" t="inlineStr"/>
      <c r="D13" s="4" t="inlineStr"/>
    </row>
    <row r="14">
      <c r="B14" s="7" t="inlineStr">
        <is>
          <t>1. Onglet 'Hypothèses' : ajuste toutes les cases JAUNES (prix, coûts, taux de change, douane...).</t>
        </is>
      </c>
      <c r="C14" s="9" t="n"/>
      <c r="D14" s="10" t="n"/>
    </row>
    <row r="15">
      <c r="B15" s="7" t="inlineStr">
        <is>
          <t>2. Onglet 'Économie unitaire' : vérifie la marge et le 'retour sur matériel' de chaque palier.</t>
        </is>
      </c>
      <c r="C15" s="9" t="n"/>
      <c r="D15" s="10" t="n"/>
    </row>
    <row r="16">
      <c r="B16" s="7" t="inlineStr">
        <is>
          <t>3. Onglet 'Projection 24 mois' : saisis le nb de NOUVEAUX clients/mois (lignes jaunes).</t>
        </is>
      </c>
      <c r="C16" s="9" t="n"/>
      <c r="D16" s="10" t="n"/>
    </row>
    <row r="17">
      <c r="B17" s="7" t="inlineStr">
        <is>
          <t>4. Reviens ici : si la 'trésorerie minimale' est négative, ton rythme d'acquisition n'est pas finançable.</t>
        </is>
      </c>
      <c r="C17" s="9" t="n"/>
      <c r="D17" s="10" t="n"/>
    </row>
    <row r="18">
      <c r="B18" s="7" t="inlineStr">
        <is>
          <t>Code couleur : JAUNE = à saisir · BLEU = calculé · VERT = résultat.</t>
        </is>
      </c>
      <c r="C18" s="9" t="n"/>
      <c r="D18" s="10" t="n"/>
    </row>
    <row r="19">
      <c r="B19" s="7" t="inlineStr">
        <is>
          <t>⚠️ Les coûts terrain (visite, logistique, douane) sont des ESTIMATIONS : remplace-les par tes vrais devis.</t>
        </is>
      </c>
      <c r="C19" s="9" t="n"/>
      <c r="D19" s="10" t="n"/>
    </row>
  </sheetData>
  <mergeCells count="7">
    <mergeCell ref="B19:D19"/>
    <mergeCell ref="B14:D14"/>
    <mergeCell ref="B1:D1"/>
    <mergeCell ref="B17:D17"/>
    <mergeCell ref="B18:D18"/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50" customWidth="1" min="4" max="4"/>
  </cols>
  <sheetData>
    <row r="1" ht="28" customHeight="1">
      <c r="B1" s="1" t="inlineStr">
        <is>
          <t>ScentSenegal — Modèle financier</t>
        </is>
      </c>
    </row>
    <row r="2">
      <c r="B2" s="2" t="inlineStr">
        <is>
          <t>HYPOTHÈSES (jaune = à ajuster librement)</t>
        </is>
      </c>
    </row>
    <row r="4">
      <c r="B4" s="3" t="inlineStr">
        <is>
          <t>Taux de change</t>
        </is>
      </c>
      <c r="C4" s="4" t="inlineStr"/>
      <c r="D4" s="4" t="inlineStr"/>
    </row>
    <row r="5">
      <c r="B5" s="5" t="inlineStr">
        <is>
          <t>CFA par 1 CAD</t>
        </is>
      </c>
      <c r="C5" s="11" t="n">
        <v>610</v>
      </c>
      <c r="D5" s="7" t="inlineStr">
        <is>
          <t>1000 $ ≈ 610 000 CFA (ajuste au taux réel)</t>
        </is>
      </c>
    </row>
    <row r="6">
      <c r="B6" s="3" t="inlineStr">
        <is>
          <t>Prix des abonnements (CFA / mois)</t>
        </is>
      </c>
      <c r="C6" s="4" t="inlineStr"/>
      <c r="D6" s="4" t="inlineStr"/>
    </row>
    <row r="7">
      <c r="B7" s="5" t="inlineStr">
        <is>
          <t>Découverte</t>
        </is>
      </c>
      <c r="C7" s="12" t="n">
        <v>80000</v>
      </c>
      <c r="D7" s="7" t="inlineStr">
        <is>
          <t>Hôtels 3★ / boutique</t>
        </is>
      </c>
    </row>
    <row r="8">
      <c r="B8" s="5" t="inlineStr">
        <is>
          <t>Confort</t>
        </is>
      </c>
      <c r="C8" s="12" t="n">
        <v>150000</v>
      </c>
      <c r="D8" s="7" t="inlineStr">
        <is>
          <t>Hôtels 4★ (le plus choisi)</t>
        </is>
      </c>
    </row>
    <row r="9">
      <c r="B9" s="5" t="inlineStr">
        <is>
          <t>Prestige</t>
        </is>
      </c>
      <c r="C9" s="12" t="n">
        <v>300000</v>
      </c>
      <c r="D9" s="7" t="inlineStr">
        <is>
          <t>Hôtels 5★ / palaces</t>
        </is>
      </c>
    </row>
    <row r="10">
      <c r="B10" s="3" t="inlineStr">
        <is>
          <t>Huiles essentielles</t>
        </is>
      </c>
      <c r="C10" s="4" t="inlineStr"/>
      <c r="D10" s="4" t="inlineStr"/>
    </row>
    <row r="11">
      <c r="B11" s="5" t="inlineStr">
        <is>
          <t>Coût d'un flacon 500 ml (achat)</t>
        </is>
      </c>
      <c r="C11" s="12" t="n">
        <v>11000</v>
      </c>
      <c r="D11" s="7" t="inlineStr">
        <is>
          <t>55 000 CFA / 5 flacons</t>
        </is>
      </c>
    </row>
    <row r="12">
      <c r="B12" s="5" t="inlineStr">
        <is>
          <t>Flacons / mois — Découverte</t>
        </is>
      </c>
      <c r="C12" s="13" t="n">
        <v>1</v>
      </c>
      <c r="D12" s="7" t="inlineStr">
        <is>
          <t>1 espace</t>
        </is>
      </c>
    </row>
    <row r="13">
      <c r="B13" s="5" t="inlineStr">
        <is>
          <t>Flacons / mois — Confort</t>
        </is>
      </c>
      <c r="C13" s="13" t="n">
        <v>2</v>
      </c>
      <c r="D13" s="7" t="inlineStr">
        <is>
          <t>2 espaces</t>
        </is>
      </c>
    </row>
    <row r="14">
      <c r="B14" s="5" t="inlineStr">
        <is>
          <t>Flacons / mois — Prestige</t>
        </is>
      </c>
      <c r="C14" s="13" t="n">
        <v>5</v>
      </c>
      <c r="D14" s="7" t="inlineStr">
        <is>
          <t>4 à 6 flacons</t>
        </is>
      </c>
    </row>
    <row r="15">
      <c r="B15" s="3" t="inlineStr">
        <is>
          <t>Service terrain (Dakar)</t>
        </is>
      </c>
      <c r="C15" s="4" t="inlineStr"/>
      <c r="D15" s="4" t="inlineStr"/>
    </row>
    <row r="16">
      <c r="B16" s="5" t="inlineStr">
        <is>
          <t>Coût d'une visite (transport+temps opérateur)</t>
        </is>
      </c>
      <c r="C16" s="12" t="n">
        <v>5000</v>
      </c>
      <c r="D16" s="7" t="inlineStr">
        <is>
          <t>À CALER avec ton contact local</t>
        </is>
      </c>
    </row>
    <row r="17">
      <c r="B17" s="5" t="inlineStr">
        <is>
          <t>Visites / mois — Découverte</t>
        </is>
      </c>
      <c r="C17" s="13" t="n">
        <v>1</v>
      </c>
      <c r="D17" s="7" t="inlineStr"/>
    </row>
    <row r="18">
      <c r="B18" s="5" t="inlineStr">
        <is>
          <t>Visites / mois — Confort</t>
        </is>
      </c>
      <c r="C18" s="13" t="n">
        <v>2</v>
      </c>
      <c r="D18" s="7" t="inlineStr"/>
    </row>
    <row r="19">
      <c r="B19" s="5" t="inlineStr">
        <is>
          <t>Visites / mois — Prestige</t>
        </is>
      </c>
      <c r="C19" s="13" t="n">
        <v>4</v>
      </c>
      <c r="D19" s="7" t="inlineStr">
        <is>
          <t>+ technicien dédié</t>
        </is>
      </c>
    </row>
    <row r="20">
      <c r="B20" s="3" t="inlineStr">
        <is>
          <t>Logistique d'import (huiles)</t>
        </is>
      </c>
      <c r="C20" s="4" t="inlineStr"/>
      <c r="D20" s="4" t="inlineStr"/>
    </row>
    <row r="21">
      <c r="B21" s="5" t="inlineStr">
        <is>
          <t>Logistique amortie / client / mois</t>
        </is>
      </c>
      <c r="C21" s="12" t="n">
        <v>8000</v>
      </c>
      <c r="D21" s="7" t="inlineStr">
        <is>
          <t>DHL groupé + douane sur les huiles, réparti</t>
        </is>
      </c>
    </row>
    <row r="22">
      <c r="B22" s="3" t="inlineStr">
        <is>
          <t>Matériel &amp; CapEx (avant douane)</t>
        </is>
      </c>
      <c r="C22" s="4" t="inlineStr"/>
      <c r="D22" s="4" t="inlineStr"/>
    </row>
    <row r="23">
      <c r="B23" s="5" t="inlineStr">
        <is>
          <t>Diffuseur SS100 (compact)</t>
        </is>
      </c>
      <c r="C23" s="12" t="n">
        <v>26300</v>
      </c>
      <c r="D23" s="7" t="inlineStr">
        <is>
          <t>79 000 CFA / 3</t>
        </is>
      </c>
    </row>
    <row r="24">
      <c r="B24" s="5" t="inlineStr">
        <is>
          <t>Diffuseur SS200 (grand format)</t>
        </is>
      </c>
      <c r="C24" s="12" t="n">
        <v>67000</v>
      </c>
      <c r="D24" s="7" t="inlineStr"/>
    </row>
    <row r="25">
      <c r="B25" s="5" t="inlineStr">
        <is>
          <t>Taux de douane / import sur le matériel</t>
        </is>
      </c>
      <c r="C25" s="14" t="n">
        <v>0.2</v>
      </c>
      <c r="D25" s="7" t="inlineStr">
        <is>
          <t>Estimation — À VÉRIFIER</t>
        </is>
      </c>
    </row>
    <row r="26">
      <c r="B26" s="3" t="inlineStr">
        <is>
          <t>Trésorerie &amp; financement</t>
        </is>
      </c>
      <c r="C26" s="4" t="inlineStr"/>
      <c r="D26" s="4" t="inlineStr"/>
    </row>
    <row r="27">
      <c r="B27" s="5" t="inlineStr">
        <is>
          <t>Capital business d'ouverture</t>
        </is>
      </c>
      <c r="C27" s="12" t="n">
        <v>610000</v>
      </c>
      <c r="D27" s="7" t="inlineStr">
        <is>
          <t>≈ 1000 $ au lancement (mois 4 du plan)</t>
        </is>
      </c>
    </row>
    <row r="28">
      <c r="B28" s="5" t="inlineStr">
        <is>
          <t>Apport personnel / mois</t>
        </is>
      </c>
      <c r="C28" s="12" t="n">
        <v>305000</v>
      </c>
      <c r="D28" s="7" t="inlineStr">
        <is>
          <t>≈ 500 $/mois (règle des 50%)</t>
        </is>
      </c>
    </row>
    <row r="29">
      <c r="B29" s="5" t="inlineStr">
        <is>
          <t>Dernier mois d'apport personnel</t>
        </is>
      </c>
      <c r="C29" s="15" t="n">
        <v>9</v>
      </c>
      <c r="D29" s="7" t="inlineStr">
        <is>
          <t>Au-delà : business autofinancé</t>
        </is>
      </c>
    </row>
    <row r="30">
      <c r="B30" s="3" t="inlineStr">
        <is>
          <t>Essai gratuit</t>
        </is>
      </c>
      <c r="C30" s="4" t="inlineStr"/>
      <c r="D30" s="4" t="inlineStr"/>
    </row>
    <row r="31">
      <c r="B31" s="5" t="inlineStr">
        <is>
          <t>Décalage de revenu</t>
        </is>
      </c>
      <c r="C31" s="15" t="n">
        <v>1</v>
      </c>
      <c r="D31" s="7" t="inlineStr">
        <is>
          <t>Mois d'essai gratuit : le client paie le mois SUIVANT son installation</t>
        </is>
      </c>
    </row>
    <row r="33">
      <c r="B33" s="3" t="inlineStr">
        <is>
          <t>CapEx matériel par client (calculé, avec douane)</t>
        </is>
      </c>
      <c r="C33" s="4" t="inlineStr"/>
      <c r="D33" s="4" t="inlineStr"/>
    </row>
    <row r="34">
      <c r="B34" s="5" t="inlineStr">
        <is>
          <t>Découverte (1× SS100)</t>
        </is>
      </c>
      <c r="C34" s="16">
        <f>(Hypothèses!$C$23)*(1+Hypothèses!$C$25)</f>
        <v/>
      </c>
    </row>
    <row r="35">
      <c r="B35" s="5" t="inlineStr">
        <is>
          <t>Confort (2× SS100)</t>
        </is>
      </c>
      <c r="C35" s="16">
        <f>(2*Hypothèses!$C$23)*(1+Hypothèses!$C$25)</f>
        <v/>
      </c>
    </row>
    <row r="36">
      <c r="B36" s="5" t="inlineStr">
        <is>
          <t>Prestige (1× SS200 + 2× SS100)</t>
        </is>
      </c>
      <c r="C36" s="16">
        <f>(Hypothèses!$C$24+2*Hypothèses!$C$23)*(1+Hypothèses!$C$25)</f>
        <v/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</cols>
  <sheetData>
    <row r="1" ht="26" customHeight="1">
      <c r="B1" s="1" t="inlineStr">
        <is>
          <t>ÉCONOMIE UNITAIRE — marge par client et par palier</t>
        </is>
      </c>
    </row>
    <row r="3">
      <c r="B3" s="3" t="inlineStr">
        <is>
          <t>Par client / mois</t>
        </is>
      </c>
      <c r="C3" s="17" t="inlineStr">
        <is>
          <t>Découverte</t>
        </is>
      </c>
      <c r="D3" s="17" t="inlineStr">
        <is>
          <t>Confort</t>
        </is>
      </c>
      <c r="E3" s="17" t="inlineStr">
        <is>
          <t>Prestige</t>
        </is>
      </c>
    </row>
    <row r="4">
      <c r="B4" s="5" t="inlineStr">
        <is>
          <t>Revenu mensuel</t>
        </is>
      </c>
      <c r="C4" s="18">
        <f>Hypothèses!$C$7</f>
        <v/>
      </c>
      <c r="D4" s="18">
        <f>Hypothèses!$C$8</f>
        <v/>
      </c>
      <c r="E4" s="18">
        <f>Hypothèses!$C$9</f>
        <v/>
      </c>
    </row>
    <row r="5">
      <c r="B5" s="5" t="inlineStr">
        <is>
          <t>− Coût huiles</t>
        </is>
      </c>
      <c r="C5" s="18">
        <f>-Hypothèses!$C$12*Hypothèses!$C$11</f>
        <v/>
      </c>
      <c r="D5" s="18">
        <f>-Hypothèses!$C$13*Hypothèses!$C$11</f>
        <v/>
      </c>
      <c r="E5" s="18">
        <f>-Hypothèses!$C$14*Hypothèses!$C$11</f>
        <v/>
      </c>
    </row>
    <row r="6">
      <c r="B6" s="5" t="inlineStr">
        <is>
          <t>− Coût visites</t>
        </is>
      </c>
      <c r="C6" s="18">
        <f>-Hypothèses!$C$17*Hypothèses!$C$16</f>
        <v/>
      </c>
      <c r="D6" s="18">
        <f>-Hypothèses!$C$18*Hypothèses!$C$16</f>
        <v/>
      </c>
      <c r="E6" s="18">
        <f>-Hypothèses!$C$19*Hypothèses!$C$16</f>
        <v/>
      </c>
    </row>
    <row r="7">
      <c r="B7" s="5" t="inlineStr">
        <is>
          <t>− Logistique</t>
        </is>
      </c>
      <c r="C7" s="18">
        <f>-Hypothèses!$C$21</f>
        <v/>
      </c>
      <c r="D7" s="18">
        <f>-Hypothèses!$C$21</f>
        <v/>
      </c>
      <c r="E7" s="18">
        <f>-Hypothèses!$C$21</f>
        <v/>
      </c>
    </row>
    <row r="8">
      <c r="B8" s="19" t="inlineStr">
        <is>
          <t>Coût variable total</t>
        </is>
      </c>
      <c r="C8" s="16">
        <f>SUM(C5:C7)</f>
        <v/>
      </c>
      <c r="D8" s="16">
        <f>SUM(D5:D7)</f>
        <v/>
      </c>
      <c r="E8" s="16">
        <f>SUM(E5:E7)</f>
        <v/>
      </c>
    </row>
    <row r="9">
      <c r="B9" s="20" t="inlineStr">
        <is>
          <t>Marge brute mensuelle</t>
        </is>
      </c>
      <c r="C9" s="6">
        <f>C4+C8</f>
        <v/>
      </c>
      <c r="D9" s="6">
        <f>D4+D8</f>
        <v/>
      </c>
      <c r="E9" s="6">
        <f>E4+E8</f>
        <v/>
      </c>
    </row>
    <row r="10">
      <c r="B10" s="20" t="inlineStr">
        <is>
          <t>Marge brute %</t>
        </is>
      </c>
      <c r="C10" s="21">
        <f>C9/C4</f>
        <v/>
      </c>
      <c r="D10" s="21">
        <f>D9/D4</f>
        <v/>
      </c>
      <c r="E10" s="21">
        <f>E9/E4</f>
        <v/>
      </c>
    </row>
    <row r="12">
      <c r="B12" s="5" t="inlineStr">
        <is>
          <t>CapEx matériel initial (1×)</t>
        </is>
      </c>
      <c r="C12" s="18">
        <f>Hypothèses!$C$34</f>
        <v/>
      </c>
      <c r="D12" s="18">
        <f>Hypothèses!$C$35</f>
        <v/>
      </c>
      <c r="E12" s="18">
        <f>Hypothèses!$C$36</f>
        <v/>
      </c>
    </row>
    <row r="13">
      <c r="B13" s="20" t="inlineStr">
        <is>
          <t>Retour sur matériel (mois)</t>
        </is>
      </c>
      <c r="C13" s="22">
        <f>C12/C9</f>
        <v/>
      </c>
      <c r="D13" s="22">
        <f>D12/D9</f>
        <v/>
      </c>
      <c r="E13" s="22">
        <f>E12/E9</f>
        <v/>
      </c>
    </row>
    <row r="14">
      <c r="B14" s="5" t="inlineStr">
        <is>
          <t>Durée d'engagement (mois)</t>
        </is>
      </c>
      <c r="C14" s="15" t="n">
        <v>12</v>
      </c>
      <c r="D14" s="15" t="n">
        <v>12</v>
      </c>
      <c r="E14" s="15" t="n">
        <v>24</v>
      </c>
    </row>
    <row r="15">
      <c r="B15" s="20" t="inlineStr">
        <is>
          <t>Profit net sur l'engagement</t>
        </is>
      </c>
      <c r="C15" s="6">
        <f>C9*C14-C12</f>
        <v/>
      </c>
      <c r="D15" s="6">
        <f>D9*D14-D12</f>
        <v/>
      </c>
      <c r="E15" s="6">
        <f>E9*E14-E12</f>
        <v/>
      </c>
    </row>
    <row r="17">
      <c r="B17" s="2" t="inlineStr">
        <is>
          <t>Lecture : la marge brute est le profit récurrent par client. Le 'retour sur matériel' = nb de mois pour rembourser le diffuseur.</t>
        </is>
      </c>
    </row>
  </sheetData>
  <mergeCells count="2">
    <mergeCell ref="B17:E17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24" customHeight="1">
      <c r="A1" s="1" t="inlineStr">
        <is>
          <t>PROJECTION DE TRÉSORERIE — 24 MOIS  (jaune = nb de nouveaux clients à saisir)</t>
        </is>
      </c>
    </row>
    <row r="2">
      <c r="A2" s="3" t="inlineStr">
        <is>
          <t>Mois</t>
        </is>
      </c>
      <c r="B2" s="23" t="n">
        <v>1</v>
      </c>
      <c r="C2" s="23" t="n">
        <v>2</v>
      </c>
      <c r="D2" s="23" t="n">
        <v>3</v>
      </c>
      <c r="E2" s="23" t="n">
        <v>4</v>
      </c>
      <c r="F2" s="23" t="n">
        <v>5</v>
      </c>
      <c r="G2" s="23" t="n">
        <v>6</v>
      </c>
      <c r="H2" s="23" t="n">
        <v>7</v>
      </c>
      <c r="I2" s="23" t="n">
        <v>8</v>
      </c>
      <c r="J2" s="23" t="n">
        <v>9</v>
      </c>
      <c r="K2" s="23" t="n">
        <v>10</v>
      </c>
      <c r="L2" s="23" t="n">
        <v>11</v>
      </c>
      <c r="M2" s="23" t="n">
        <v>12</v>
      </c>
      <c r="N2" s="23" t="n">
        <v>13</v>
      </c>
      <c r="O2" s="23" t="n">
        <v>14</v>
      </c>
      <c r="P2" s="23" t="n">
        <v>15</v>
      </c>
      <c r="Q2" s="23" t="n">
        <v>16</v>
      </c>
      <c r="R2" s="23" t="n">
        <v>17</v>
      </c>
      <c r="S2" s="23" t="n">
        <v>18</v>
      </c>
      <c r="T2" s="23" t="n">
        <v>19</v>
      </c>
      <c r="U2" s="23" t="n">
        <v>20</v>
      </c>
      <c r="V2" s="23" t="n">
        <v>21</v>
      </c>
      <c r="W2" s="23" t="n">
        <v>22</v>
      </c>
      <c r="X2" s="23" t="n">
        <v>23</v>
      </c>
      <c r="Y2" s="23" t="n">
        <v>24</v>
      </c>
    </row>
    <row r="3">
      <c r="A3" s="5" t="inlineStr">
        <is>
          <t>Nouveaux — Découverte</t>
        </is>
      </c>
      <c r="B3" s="24" t="n">
        <v>0</v>
      </c>
      <c r="C3" s="24" t="n">
        <v>1</v>
      </c>
      <c r="D3" s="24" t="n">
        <v>1</v>
      </c>
      <c r="E3" s="24" t="n">
        <v>1</v>
      </c>
      <c r="F3" s="24" t="n">
        <v>1</v>
      </c>
      <c r="G3" s="24" t="n">
        <v>1</v>
      </c>
      <c r="H3" s="24" t="n">
        <v>1</v>
      </c>
      <c r="I3" s="24" t="n">
        <v>1</v>
      </c>
      <c r="J3" s="24" t="n">
        <v>1</v>
      </c>
      <c r="K3" s="24" t="n">
        <v>1</v>
      </c>
      <c r="L3" s="24" t="n">
        <v>1</v>
      </c>
      <c r="M3" s="24" t="n">
        <v>1</v>
      </c>
      <c r="N3" s="24" t="n">
        <v>1</v>
      </c>
      <c r="O3" s="24" t="n">
        <v>1</v>
      </c>
      <c r="P3" s="24" t="n">
        <v>1</v>
      </c>
      <c r="Q3" s="24" t="n">
        <v>1</v>
      </c>
      <c r="R3" s="24" t="n">
        <v>1</v>
      </c>
      <c r="S3" s="24" t="n">
        <v>1</v>
      </c>
      <c r="T3" s="24" t="n">
        <v>1</v>
      </c>
      <c r="U3" s="24" t="n">
        <v>1</v>
      </c>
      <c r="V3" s="24" t="n">
        <v>1</v>
      </c>
      <c r="W3" s="24" t="n">
        <v>1</v>
      </c>
      <c r="X3" s="24" t="n">
        <v>1</v>
      </c>
      <c r="Y3" s="24" t="n">
        <v>1</v>
      </c>
    </row>
    <row r="4">
      <c r="A4" s="5" t="inlineStr">
        <is>
          <t>Nouveaux — Confort</t>
        </is>
      </c>
      <c r="B4" s="24" t="n">
        <v>0</v>
      </c>
      <c r="C4" s="24" t="n">
        <v>0</v>
      </c>
      <c r="D4" s="24" t="n">
        <v>0</v>
      </c>
      <c r="E4" s="24" t="n">
        <v>1</v>
      </c>
      <c r="F4" s="24" t="n">
        <v>0</v>
      </c>
      <c r="G4" s="24" t="n">
        <v>1</v>
      </c>
      <c r="H4" s="24" t="n">
        <v>0</v>
      </c>
      <c r="I4" s="24" t="n">
        <v>1</v>
      </c>
      <c r="J4" s="24" t="n">
        <v>0</v>
      </c>
      <c r="K4" s="24" t="n">
        <v>1</v>
      </c>
      <c r="L4" s="24" t="n">
        <v>0</v>
      </c>
      <c r="M4" s="24" t="n">
        <v>1</v>
      </c>
      <c r="N4" s="24" t="n">
        <v>0</v>
      </c>
      <c r="O4" s="24" t="n">
        <v>1</v>
      </c>
      <c r="P4" s="24" t="n">
        <v>0</v>
      </c>
      <c r="Q4" s="24" t="n">
        <v>1</v>
      </c>
      <c r="R4" s="24" t="n">
        <v>0</v>
      </c>
      <c r="S4" s="24" t="n">
        <v>1</v>
      </c>
      <c r="T4" s="24" t="n">
        <v>0</v>
      </c>
      <c r="U4" s="24" t="n">
        <v>1</v>
      </c>
      <c r="V4" s="24" t="n">
        <v>0</v>
      </c>
      <c r="W4" s="24" t="n">
        <v>1</v>
      </c>
      <c r="X4" s="24" t="n">
        <v>0</v>
      </c>
      <c r="Y4" s="24" t="n">
        <v>1</v>
      </c>
    </row>
    <row r="5">
      <c r="A5" s="5" t="inlineStr">
        <is>
          <t>Nouveaux — Prestige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1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1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1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1</v>
      </c>
      <c r="X5" s="24" t="n">
        <v>0</v>
      </c>
      <c r="Y5" s="24" t="n">
        <v>0</v>
      </c>
    </row>
    <row r="6">
      <c r="A6" s="5" t="inlineStr">
        <is>
          <t>Déployés — Découverte</t>
        </is>
      </c>
      <c r="B6" s="25">
        <f>SUM($B3:B3)</f>
        <v/>
      </c>
      <c r="C6" s="25">
        <f>SUM($B3:C3)</f>
        <v/>
      </c>
      <c r="D6" s="25">
        <f>SUM($B3:D3)</f>
        <v/>
      </c>
      <c r="E6" s="25">
        <f>SUM($B3:E3)</f>
        <v/>
      </c>
      <c r="F6" s="25">
        <f>SUM($B3:F3)</f>
        <v/>
      </c>
      <c r="G6" s="25">
        <f>SUM($B3:G3)</f>
        <v/>
      </c>
      <c r="H6" s="25">
        <f>SUM($B3:H3)</f>
        <v/>
      </c>
      <c r="I6" s="25">
        <f>SUM($B3:I3)</f>
        <v/>
      </c>
      <c r="J6" s="25">
        <f>SUM($B3:J3)</f>
        <v/>
      </c>
      <c r="K6" s="25">
        <f>SUM($B3:K3)</f>
        <v/>
      </c>
      <c r="L6" s="25">
        <f>SUM($B3:L3)</f>
        <v/>
      </c>
      <c r="M6" s="25">
        <f>SUM($B3:M3)</f>
        <v/>
      </c>
      <c r="N6" s="25">
        <f>SUM($B3:N3)</f>
        <v/>
      </c>
      <c r="O6" s="25">
        <f>SUM($B3:O3)</f>
        <v/>
      </c>
      <c r="P6" s="25">
        <f>SUM($B3:P3)</f>
        <v/>
      </c>
      <c r="Q6" s="25">
        <f>SUM($B3:Q3)</f>
        <v/>
      </c>
      <c r="R6" s="25">
        <f>SUM($B3:R3)</f>
        <v/>
      </c>
      <c r="S6" s="25">
        <f>SUM($B3:S3)</f>
        <v/>
      </c>
      <c r="T6" s="25">
        <f>SUM($B3:T3)</f>
        <v/>
      </c>
      <c r="U6" s="25">
        <f>SUM($B3:U3)</f>
        <v/>
      </c>
      <c r="V6" s="25">
        <f>SUM($B3:V3)</f>
        <v/>
      </c>
      <c r="W6" s="25">
        <f>SUM($B3:W3)</f>
        <v/>
      </c>
      <c r="X6" s="25">
        <f>SUM($B3:X3)</f>
        <v/>
      </c>
      <c r="Y6" s="25">
        <f>SUM($B3:Y3)</f>
        <v/>
      </c>
    </row>
    <row r="7">
      <c r="A7" s="5" t="inlineStr">
        <is>
          <t>Déployés — Confort</t>
        </is>
      </c>
      <c r="B7" s="25">
        <f>SUM($B4:B4)</f>
        <v/>
      </c>
      <c r="C7" s="25">
        <f>SUM($B4:C4)</f>
        <v/>
      </c>
      <c r="D7" s="25">
        <f>SUM($B4:D4)</f>
        <v/>
      </c>
      <c r="E7" s="25">
        <f>SUM($B4:E4)</f>
        <v/>
      </c>
      <c r="F7" s="25">
        <f>SUM($B4:F4)</f>
        <v/>
      </c>
      <c r="G7" s="25">
        <f>SUM($B4:G4)</f>
        <v/>
      </c>
      <c r="H7" s="25">
        <f>SUM($B4:H4)</f>
        <v/>
      </c>
      <c r="I7" s="25">
        <f>SUM($B4:I4)</f>
        <v/>
      </c>
      <c r="J7" s="25">
        <f>SUM($B4:J4)</f>
        <v/>
      </c>
      <c r="K7" s="25">
        <f>SUM($B4:K4)</f>
        <v/>
      </c>
      <c r="L7" s="25">
        <f>SUM($B4:L4)</f>
        <v/>
      </c>
      <c r="M7" s="25">
        <f>SUM($B4:M4)</f>
        <v/>
      </c>
      <c r="N7" s="25">
        <f>SUM($B4:N4)</f>
        <v/>
      </c>
      <c r="O7" s="25">
        <f>SUM($B4:O4)</f>
        <v/>
      </c>
      <c r="P7" s="25">
        <f>SUM($B4:P4)</f>
        <v/>
      </c>
      <c r="Q7" s="25">
        <f>SUM($B4:Q4)</f>
        <v/>
      </c>
      <c r="R7" s="25">
        <f>SUM($B4:R4)</f>
        <v/>
      </c>
      <c r="S7" s="25">
        <f>SUM($B4:S4)</f>
        <v/>
      </c>
      <c r="T7" s="25">
        <f>SUM($B4:T4)</f>
        <v/>
      </c>
      <c r="U7" s="25">
        <f>SUM($B4:U4)</f>
        <v/>
      </c>
      <c r="V7" s="25">
        <f>SUM($B4:V4)</f>
        <v/>
      </c>
      <c r="W7" s="25">
        <f>SUM($B4:W4)</f>
        <v/>
      </c>
      <c r="X7" s="25">
        <f>SUM($B4:X4)</f>
        <v/>
      </c>
      <c r="Y7" s="25">
        <f>SUM($B4:Y4)</f>
        <v/>
      </c>
    </row>
    <row r="8">
      <c r="A8" s="5" t="inlineStr">
        <is>
          <t>Déployés — Prestige</t>
        </is>
      </c>
      <c r="B8" s="25">
        <f>SUM($B5:B5)</f>
        <v/>
      </c>
      <c r="C8" s="25">
        <f>SUM($B5:C5)</f>
        <v/>
      </c>
      <c r="D8" s="25">
        <f>SUM($B5:D5)</f>
        <v/>
      </c>
      <c r="E8" s="25">
        <f>SUM($B5:E5)</f>
        <v/>
      </c>
      <c r="F8" s="25">
        <f>SUM($B5:F5)</f>
        <v/>
      </c>
      <c r="G8" s="25">
        <f>SUM($B5:G5)</f>
        <v/>
      </c>
      <c r="H8" s="25">
        <f>SUM($B5:H5)</f>
        <v/>
      </c>
      <c r="I8" s="25">
        <f>SUM($B5:I5)</f>
        <v/>
      </c>
      <c r="J8" s="25">
        <f>SUM($B5:J5)</f>
        <v/>
      </c>
      <c r="K8" s="25">
        <f>SUM($B5:K5)</f>
        <v/>
      </c>
      <c r="L8" s="25">
        <f>SUM($B5:L5)</f>
        <v/>
      </c>
      <c r="M8" s="25">
        <f>SUM($B5:M5)</f>
        <v/>
      </c>
      <c r="N8" s="25">
        <f>SUM($B5:N5)</f>
        <v/>
      </c>
      <c r="O8" s="25">
        <f>SUM($B5:O5)</f>
        <v/>
      </c>
      <c r="P8" s="25">
        <f>SUM($B5:P5)</f>
        <v/>
      </c>
      <c r="Q8" s="25">
        <f>SUM($B5:Q5)</f>
        <v/>
      </c>
      <c r="R8" s="25">
        <f>SUM($B5:R5)</f>
        <v/>
      </c>
      <c r="S8" s="25">
        <f>SUM($B5:S5)</f>
        <v/>
      </c>
      <c r="T8" s="25">
        <f>SUM($B5:T5)</f>
        <v/>
      </c>
      <c r="U8" s="25">
        <f>SUM($B5:U5)</f>
        <v/>
      </c>
      <c r="V8" s="25">
        <f>SUM($B5:V5)</f>
        <v/>
      </c>
      <c r="W8" s="25">
        <f>SUM($B5:W5)</f>
        <v/>
      </c>
      <c r="X8" s="25">
        <f>SUM($B5:X5)</f>
        <v/>
      </c>
      <c r="Y8" s="25">
        <f>SUM($B5:Y5)</f>
        <v/>
      </c>
    </row>
    <row r="9">
      <c r="A9" s="5" t="inlineStr">
        <is>
          <t>Payants — Découverte</t>
        </is>
      </c>
      <c r="B9" s="25" t="n">
        <v>0</v>
      </c>
      <c r="C9" s="25">
        <f>SUM($B3:B3)</f>
        <v/>
      </c>
      <c r="D9" s="25">
        <f>SUM($B3:C3)</f>
        <v/>
      </c>
      <c r="E9" s="25">
        <f>SUM($B3:D3)</f>
        <v/>
      </c>
      <c r="F9" s="25">
        <f>SUM($B3:E3)</f>
        <v/>
      </c>
      <c r="G9" s="25">
        <f>SUM($B3:F3)</f>
        <v/>
      </c>
      <c r="H9" s="25">
        <f>SUM($B3:G3)</f>
        <v/>
      </c>
      <c r="I9" s="25">
        <f>SUM($B3:H3)</f>
        <v/>
      </c>
      <c r="J9" s="25">
        <f>SUM($B3:I3)</f>
        <v/>
      </c>
      <c r="K9" s="25">
        <f>SUM($B3:J3)</f>
        <v/>
      </c>
      <c r="L9" s="25">
        <f>SUM($B3:K3)</f>
        <v/>
      </c>
      <c r="M9" s="25">
        <f>SUM($B3:L3)</f>
        <v/>
      </c>
      <c r="N9" s="25">
        <f>SUM($B3:M3)</f>
        <v/>
      </c>
      <c r="O9" s="25">
        <f>SUM($B3:N3)</f>
        <v/>
      </c>
      <c r="P9" s="25">
        <f>SUM($B3:O3)</f>
        <v/>
      </c>
      <c r="Q9" s="25">
        <f>SUM($B3:P3)</f>
        <v/>
      </c>
      <c r="R9" s="25">
        <f>SUM($B3:Q3)</f>
        <v/>
      </c>
      <c r="S9" s="25">
        <f>SUM($B3:R3)</f>
        <v/>
      </c>
      <c r="T9" s="25">
        <f>SUM($B3:S3)</f>
        <v/>
      </c>
      <c r="U9" s="25">
        <f>SUM($B3:T3)</f>
        <v/>
      </c>
      <c r="V9" s="25">
        <f>SUM($B3:U3)</f>
        <v/>
      </c>
      <c r="W9" s="25">
        <f>SUM($B3:V3)</f>
        <v/>
      </c>
      <c r="X9" s="25">
        <f>SUM($B3:W3)</f>
        <v/>
      </c>
      <c r="Y9" s="25">
        <f>SUM($B3:X3)</f>
        <v/>
      </c>
    </row>
    <row r="10">
      <c r="A10" s="5" t="inlineStr">
        <is>
          <t>Payants — Confort</t>
        </is>
      </c>
      <c r="B10" s="25" t="n">
        <v>0</v>
      </c>
      <c r="C10" s="25">
        <f>SUM($B4:B4)</f>
        <v/>
      </c>
      <c r="D10" s="25">
        <f>SUM($B4:C4)</f>
        <v/>
      </c>
      <c r="E10" s="25">
        <f>SUM($B4:D4)</f>
        <v/>
      </c>
      <c r="F10" s="25">
        <f>SUM($B4:E4)</f>
        <v/>
      </c>
      <c r="G10" s="25">
        <f>SUM($B4:F4)</f>
        <v/>
      </c>
      <c r="H10" s="25">
        <f>SUM($B4:G4)</f>
        <v/>
      </c>
      <c r="I10" s="25">
        <f>SUM($B4:H4)</f>
        <v/>
      </c>
      <c r="J10" s="25">
        <f>SUM($B4:I4)</f>
        <v/>
      </c>
      <c r="K10" s="25">
        <f>SUM($B4:J4)</f>
        <v/>
      </c>
      <c r="L10" s="25">
        <f>SUM($B4:K4)</f>
        <v/>
      </c>
      <c r="M10" s="25">
        <f>SUM($B4:L4)</f>
        <v/>
      </c>
      <c r="N10" s="25">
        <f>SUM($B4:M4)</f>
        <v/>
      </c>
      <c r="O10" s="25">
        <f>SUM($B4:N4)</f>
        <v/>
      </c>
      <c r="P10" s="25">
        <f>SUM($B4:O4)</f>
        <v/>
      </c>
      <c r="Q10" s="25">
        <f>SUM($B4:P4)</f>
        <v/>
      </c>
      <c r="R10" s="25">
        <f>SUM($B4:Q4)</f>
        <v/>
      </c>
      <c r="S10" s="25">
        <f>SUM($B4:R4)</f>
        <v/>
      </c>
      <c r="T10" s="25">
        <f>SUM($B4:S4)</f>
        <v/>
      </c>
      <c r="U10" s="25">
        <f>SUM($B4:T4)</f>
        <v/>
      </c>
      <c r="V10" s="25">
        <f>SUM($B4:U4)</f>
        <v/>
      </c>
      <c r="W10" s="25">
        <f>SUM($B4:V4)</f>
        <v/>
      </c>
      <c r="X10" s="25">
        <f>SUM($B4:W4)</f>
        <v/>
      </c>
      <c r="Y10" s="25">
        <f>SUM($B4:X4)</f>
        <v/>
      </c>
    </row>
    <row r="11">
      <c r="A11" s="5" t="inlineStr">
        <is>
          <t>Payants — Prestige</t>
        </is>
      </c>
      <c r="B11" s="25" t="n">
        <v>0</v>
      </c>
      <c r="C11" s="25">
        <f>SUM($B5:B5)</f>
        <v/>
      </c>
      <c r="D11" s="25">
        <f>SUM($B5:C5)</f>
        <v/>
      </c>
      <c r="E11" s="25">
        <f>SUM($B5:D5)</f>
        <v/>
      </c>
      <c r="F11" s="25">
        <f>SUM($B5:E5)</f>
        <v/>
      </c>
      <c r="G11" s="25">
        <f>SUM($B5:F5)</f>
        <v/>
      </c>
      <c r="H11" s="25">
        <f>SUM($B5:G5)</f>
        <v/>
      </c>
      <c r="I11" s="25">
        <f>SUM($B5:H5)</f>
        <v/>
      </c>
      <c r="J11" s="25">
        <f>SUM($B5:I5)</f>
        <v/>
      </c>
      <c r="K11" s="25">
        <f>SUM($B5:J5)</f>
        <v/>
      </c>
      <c r="L11" s="25">
        <f>SUM($B5:K5)</f>
        <v/>
      </c>
      <c r="M11" s="25">
        <f>SUM($B5:L5)</f>
        <v/>
      </c>
      <c r="N11" s="25">
        <f>SUM($B5:M5)</f>
        <v/>
      </c>
      <c r="O11" s="25">
        <f>SUM($B5:N5)</f>
        <v/>
      </c>
      <c r="P11" s="25">
        <f>SUM($B5:O5)</f>
        <v/>
      </c>
      <c r="Q11" s="25">
        <f>SUM($B5:P5)</f>
        <v/>
      </c>
      <c r="R11" s="25">
        <f>SUM($B5:Q5)</f>
        <v/>
      </c>
      <c r="S11" s="25">
        <f>SUM($B5:R5)</f>
        <v/>
      </c>
      <c r="T11" s="25">
        <f>SUM($B5:S5)</f>
        <v/>
      </c>
      <c r="U11" s="25">
        <f>SUM($B5:T5)</f>
        <v/>
      </c>
      <c r="V11" s="25">
        <f>SUM($B5:U5)</f>
        <v/>
      </c>
      <c r="W11" s="25">
        <f>SUM($B5:V5)</f>
        <v/>
      </c>
      <c r="X11" s="25">
        <f>SUM($B5:W5)</f>
        <v/>
      </c>
      <c r="Y11" s="25">
        <f>SUM($B5:X5)</f>
        <v/>
      </c>
    </row>
    <row r="12">
      <c r="A12" s="5" t="inlineStr">
        <is>
          <t>REVENU mensuel</t>
        </is>
      </c>
      <c r="B12" s="16">
        <f>B9*Hypothèses!$C$7+B10*Hypothèses!$C$8+B11*Hypothèses!$C$9</f>
        <v/>
      </c>
      <c r="C12" s="16">
        <f>C9*Hypothèses!$C$7+C10*Hypothèses!$C$8+C11*Hypothèses!$C$9</f>
        <v/>
      </c>
      <c r="D12" s="16">
        <f>D9*Hypothèses!$C$7+D10*Hypothèses!$C$8+D11*Hypothèses!$C$9</f>
        <v/>
      </c>
      <c r="E12" s="16">
        <f>E9*Hypothèses!$C$7+E10*Hypothèses!$C$8+E11*Hypothèses!$C$9</f>
        <v/>
      </c>
      <c r="F12" s="16">
        <f>F9*Hypothèses!$C$7+F10*Hypothèses!$C$8+F11*Hypothèses!$C$9</f>
        <v/>
      </c>
      <c r="G12" s="16">
        <f>G9*Hypothèses!$C$7+G10*Hypothèses!$C$8+G11*Hypothèses!$C$9</f>
        <v/>
      </c>
      <c r="H12" s="16">
        <f>H9*Hypothèses!$C$7+H10*Hypothèses!$C$8+H11*Hypothèses!$C$9</f>
        <v/>
      </c>
      <c r="I12" s="16">
        <f>I9*Hypothèses!$C$7+I10*Hypothèses!$C$8+I11*Hypothèses!$C$9</f>
        <v/>
      </c>
      <c r="J12" s="16">
        <f>J9*Hypothèses!$C$7+J10*Hypothèses!$C$8+J11*Hypothèses!$C$9</f>
        <v/>
      </c>
      <c r="K12" s="16">
        <f>K9*Hypothèses!$C$7+K10*Hypothèses!$C$8+K11*Hypothèses!$C$9</f>
        <v/>
      </c>
      <c r="L12" s="16">
        <f>L9*Hypothèses!$C$7+L10*Hypothèses!$C$8+L11*Hypothèses!$C$9</f>
        <v/>
      </c>
      <c r="M12" s="16">
        <f>M9*Hypothèses!$C$7+M10*Hypothèses!$C$8+M11*Hypothèses!$C$9</f>
        <v/>
      </c>
      <c r="N12" s="16">
        <f>N9*Hypothèses!$C$7+N10*Hypothèses!$C$8+N11*Hypothèses!$C$9</f>
        <v/>
      </c>
      <c r="O12" s="16">
        <f>O9*Hypothèses!$C$7+O10*Hypothèses!$C$8+O11*Hypothèses!$C$9</f>
        <v/>
      </c>
      <c r="P12" s="16">
        <f>P9*Hypothèses!$C$7+P10*Hypothèses!$C$8+P11*Hypothèses!$C$9</f>
        <v/>
      </c>
      <c r="Q12" s="16">
        <f>Q9*Hypothèses!$C$7+Q10*Hypothèses!$C$8+Q11*Hypothèses!$C$9</f>
        <v/>
      </c>
      <c r="R12" s="16">
        <f>R9*Hypothèses!$C$7+R10*Hypothèses!$C$8+R11*Hypothèses!$C$9</f>
        <v/>
      </c>
      <c r="S12" s="16">
        <f>S9*Hypothèses!$C$7+S10*Hypothèses!$C$8+S11*Hypothèses!$C$9</f>
        <v/>
      </c>
      <c r="T12" s="16">
        <f>T9*Hypothèses!$C$7+T10*Hypothèses!$C$8+T11*Hypothèses!$C$9</f>
        <v/>
      </c>
      <c r="U12" s="16">
        <f>U9*Hypothèses!$C$7+U10*Hypothèses!$C$8+U11*Hypothèses!$C$9</f>
        <v/>
      </c>
      <c r="V12" s="16">
        <f>V9*Hypothèses!$C$7+V10*Hypothèses!$C$8+V11*Hypothèses!$C$9</f>
        <v/>
      </c>
      <c r="W12" s="16">
        <f>W9*Hypothèses!$C$7+W10*Hypothèses!$C$8+W11*Hypothèses!$C$9</f>
        <v/>
      </c>
      <c r="X12" s="16">
        <f>X9*Hypothèses!$C$7+X10*Hypothèses!$C$8+X11*Hypothèses!$C$9</f>
        <v/>
      </c>
      <c r="Y12" s="16">
        <f>Y9*Hypothèses!$C$7+Y10*Hypothèses!$C$8+Y11*Hypothèses!$C$9</f>
        <v/>
      </c>
    </row>
    <row r="13">
      <c r="A13" s="5" t="inlineStr">
        <is>
          <t>− Huiles</t>
        </is>
      </c>
      <c r="B13" s="18">
        <f>-(B6*Hypothèses!$C$12+B7*Hypothèses!$C$13+B8*Hypothèses!$C$14)*Hypothèses!$C$11</f>
        <v/>
      </c>
      <c r="C13" s="18">
        <f>-(C6*Hypothèses!$C$12+C7*Hypothèses!$C$13+C8*Hypothèses!$C$14)*Hypothèses!$C$11</f>
        <v/>
      </c>
      <c r="D13" s="18">
        <f>-(D6*Hypothèses!$C$12+D7*Hypothèses!$C$13+D8*Hypothèses!$C$14)*Hypothèses!$C$11</f>
        <v/>
      </c>
      <c r="E13" s="18">
        <f>-(E6*Hypothèses!$C$12+E7*Hypothèses!$C$13+E8*Hypothèses!$C$14)*Hypothèses!$C$11</f>
        <v/>
      </c>
      <c r="F13" s="18">
        <f>-(F6*Hypothèses!$C$12+F7*Hypothèses!$C$13+F8*Hypothèses!$C$14)*Hypothèses!$C$11</f>
        <v/>
      </c>
      <c r="G13" s="18">
        <f>-(G6*Hypothèses!$C$12+G7*Hypothèses!$C$13+G8*Hypothèses!$C$14)*Hypothèses!$C$11</f>
        <v/>
      </c>
      <c r="H13" s="18">
        <f>-(H6*Hypothèses!$C$12+H7*Hypothèses!$C$13+H8*Hypothèses!$C$14)*Hypothèses!$C$11</f>
        <v/>
      </c>
      <c r="I13" s="18">
        <f>-(I6*Hypothèses!$C$12+I7*Hypothèses!$C$13+I8*Hypothèses!$C$14)*Hypothèses!$C$11</f>
        <v/>
      </c>
      <c r="J13" s="18">
        <f>-(J6*Hypothèses!$C$12+J7*Hypothèses!$C$13+J8*Hypothèses!$C$14)*Hypothèses!$C$11</f>
        <v/>
      </c>
      <c r="K13" s="18">
        <f>-(K6*Hypothèses!$C$12+K7*Hypothèses!$C$13+K8*Hypothèses!$C$14)*Hypothèses!$C$11</f>
        <v/>
      </c>
      <c r="L13" s="18">
        <f>-(L6*Hypothèses!$C$12+L7*Hypothèses!$C$13+L8*Hypothèses!$C$14)*Hypothèses!$C$11</f>
        <v/>
      </c>
      <c r="M13" s="18">
        <f>-(M6*Hypothèses!$C$12+M7*Hypothèses!$C$13+M8*Hypothèses!$C$14)*Hypothèses!$C$11</f>
        <v/>
      </c>
      <c r="N13" s="18">
        <f>-(N6*Hypothèses!$C$12+N7*Hypothèses!$C$13+N8*Hypothèses!$C$14)*Hypothèses!$C$11</f>
        <v/>
      </c>
      <c r="O13" s="18">
        <f>-(O6*Hypothèses!$C$12+O7*Hypothèses!$C$13+O8*Hypothèses!$C$14)*Hypothèses!$C$11</f>
        <v/>
      </c>
      <c r="P13" s="18">
        <f>-(P6*Hypothèses!$C$12+P7*Hypothèses!$C$13+P8*Hypothèses!$C$14)*Hypothèses!$C$11</f>
        <v/>
      </c>
      <c r="Q13" s="18">
        <f>-(Q6*Hypothèses!$C$12+Q7*Hypothèses!$C$13+Q8*Hypothèses!$C$14)*Hypothèses!$C$11</f>
        <v/>
      </c>
      <c r="R13" s="18">
        <f>-(R6*Hypothèses!$C$12+R7*Hypothèses!$C$13+R8*Hypothèses!$C$14)*Hypothèses!$C$11</f>
        <v/>
      </c>
      <c r="S13" s="18">
        <f>-(S6*Hypothèses!$C$12+S7*Hypothèses!$C$13+S8*Hypothèses!$C$14)*Hypothèses!$C$11</f>
        <v/>
      </c>
      <c r="T13" s="18">
        <f>-(T6*Hypothèses!$C$12+T7*Hypothèses!$C$13+T8*Hypothèses!$C$14)*Hypothèses!$C$11</f>
        <v/>
      </c>
      <c r="U13" s="18">
        <f>-(U6*Hypothèses!$C$12+U7*Hypothèses!$C$13+U8*Hypothèses!$C$14)*Hypothèses!$C$11</f>
        <v/>
      </c>
      <c r="V13" s="18">
        <f>-(V6*Hypothèses!$C$12+V7*Hypothèses!$C$13+V8*Hypothèses!$C$14)*Hypothèses!$C$11</f>
        <v/>
      </c>
      <c r="W13" s="18">
        <f>-(W6*Hypothèses!$C$12+W7*Hypothèses!$C$13+W8*Hypothèses!$C$14)*Hypothèses!$C$11</f>
        <v/>
      </c>
      <c r="X13" s="18">
        <f>-(X6*Hypothèses!$C$12+X7*Hypothèses!$C$13+X8*Hypothèses!$C$14)*Hypothèses!$C$11</f>
        <v/>
      </c>
      <c r="Y13" s="18">
        <f>-(Y6*Hypothèses!$C$12+Y7*Hypothèses!$C$13+Y8*Hypothèses!$C$14)*Hypothèses!$C$11</f>
        <v/>
      </c>
    </row>
    <row r="14">
      <c r="A14" s="5" t="inlineStr">
        <is>
          <t>− Visites</t>
        </is>
      </c>
      <c r="B14" s="18">
        <f>-(B6*Hypothèses!$C$17+B7*Hypothèses!$C$18+B8*Hypothèses!$C$19)*Hypothèses!$C$16</f>
        <v/>
      </c>
      <c r="C14" s="18">
        <f>-(C6*Hypothèses!$C$17+C7*Hypothèses!$C$18+C8*Hypothèses!$C$19)*Hypothèses!$C$16</f>
        <v/>
      </c>
      <c r="D14" s="18">
        <f>-(D6*Hypothèses!$C$17+D7*Hypothèses!$C$18+D8*Hypothèses!$C$19)*Hypothèses!$C$16</f>
        <v/>
      </c>
      <c r="E14" s="18">
        <f>-(E6*Hypothèses!$C$17+E7*Hypothèses!$C$18+E8*Hypothèses!$C$19)*Hypothèses!$C$16</f>
        <v/>
      </c>
      <c r="F14" s="18">
        <f>-(F6*Hypothèses!$C$17+F7*Hypothèses!$C$18+F8*Hypothèses!$C$19)*Hypothèses!$C$16</f>
        <v/>
      </c>
      <c r="G14" s="18">
        <f>-(G6*Hypothèses!$C$17+G7*Hypothèses!$C$18+G8*Hypothèses!$C$19)*Hypothèses!$C$16</f>
        <v/>
      </c>
      <c r="H14" s="18">
        <f>-(H6*Hypothèses!$C$17+H7*Hypothèses!$C$18+H8*Hypothèses!$C$19)*Hypothèses!$C$16</f>
        <v/>
      </c>
      <c r="I14" s="18">
        <f>-(I6*Hypothèses!$C$17+I7*Hypothèses!$C$18+I8*Hypothèses!$C$19)*Hypothèses!$C$16</f>
        <v/>
      </c>
      <c r="J14" s="18">
        <f>-(J6*Hypothèses!$C$17+J7*Hypothèses!$C$18+J8*Hypothèses!$C$19)*Hypothèses!$C$16</f>
        <v/>
      </c>
      <c r="K14" s="18">
        <f>-(K6*Hypothèses!$C$17+K7*Hypothèses!$C$18+K8*Hypothèses!$C$19)*Hypothèses!$C$16</f>
        <v/>
      </c>
      <c r="L14" s="18">
        <f>-(L6*Hypothèses!$C$17+L7*Hypothèses!$C$18+L8*Hypothèses!$C$19)*Hypothèses!$C$16</f>
        <v/>
      </c>
      <c r="M14" s="18">
        <f>-(M6*Hypothèses!$C$17+M7*Hypothèses!$C$18+M8*Hypothèses!$C$19)*Hypothèses!$C$16</f>
        <v/>
      </c>
      <c r="N14" s="18">
        <f>-(N6*Hypothèses!$C$17+N7*Hypothèses!$C$18+N8*Hypothèses!$C$19)*Hypothèses!$C$16</f>
        <v/>
      </c>
      <c r="O14" s="18">
        <f>-(O6*Hypothèses!$C$17+O7*Hypothèses!$C$18+O8*Hypothèses!$C$19)*Hypothèses!$C$16</f>
        <v/>
      </c>
      <c r="P14" s="18">
        <f>-(P6*Hypothèses!$C$17+P7*Hypothèses!$C$18+P8*Hypothèses!$C$19)*Hypothèses!$C$16</f>
        <v/>
      </c>
      <c r="Q14" s="18">
        <f>-(Q6*Hypothèses!$C$17+Q7*Hypothèses!$C$18+Q8*Hypothèses!$C$19)*Hypothèses!$C$16</f>
        <v/>
      </c>
      <c r="R14" s="18">
        <f>-(R6*Hypothèses!$C$17+R7*Hypothèses!$C$18+R8*Hypothèses!$C$19)*Hypothèses!$C$16</f>
        <v/>
      </c>
      <c r="S14" s="18">
        <f>-(S6*Hypothèses!$C$17+S7*Hypothèses!$C$18+S8*Hypothèses!$C$19)*Hypothèses!$C$16</f>
        <v/>
      </c>
      <c r="T14" s="18">
        <f>-(T6*Hypothèses!$C$17+T7*Hypothèses!$C$18+T8*Hypothèses!$C$19)*Hypothèses!$C$16</f>
        <v/>
      </c>
      <c r="U14" s="18">
        <f>-(U6*Hypothèses!$C$17+U7*Hypothèses!$C$18+U8*Hypothèses!$C$19)*Hypothèses!$C$16</f>
        <v/>
      </c>
      <c r="V14" s="18">
        <f>-(V6*Hypothèses!$C$17+V7*Hypothèses!$C$18+V8*Hypothèses!$C$19)*Hypothèses!$C$16</f>
        <v/>
      </c>
      <c r="W14" s="18">
        <f>-(W6*Hypothèses!$C$17+W7*Hypothèses!$C$18+W8*Hypothèses!$C$19)*Hypothèses!$C$16</f>
        <v/>
      </c>
      <c r="X14" s="18">
        <f>-(X6*Hypothèses!$C$17+X7*Hypothèses!$C$18+X8*Hypothèses!$C$19)*Hypothèses!$C$16</f>
        <v/>
      </c>
      <c r="Y14" s="18">
        <f>-(Y6*Hypothèses!$C$17+Y7*Hypothèses!$C$18+Y8*Hypothèses!$C$19)*Hypothèses!$C$16</f>
        <v/>
      </c>
    </row>
    <row r="15">
      <c r="A15" s="5" t="inlineStr">
        <is>
          <t>− Logistique</t>
        </is>
      </c>
      <c r="B15" s="18">
        <f>-(B6+B7+B8)*Hypothèses!$C$21</f>
        <v/>
      </c>
      <c r="C15" s="18">
        <f>-(C6+C7+C8)*Hypothèses!$C$21</f>
        <v/>
      </c>
      <c r="D15" s="18">
        <f>-(D6+D7+D8)*Hypothèses!$C$21</f>
        <v/>
      </c>
      <c r="E15" s="18">
        <f>-(E6+E7+E8)*Hypothèses!$C$21</f>
        <v/>
      </c>
      <c r="F15" s="18">
        <f>-(F6+F7+F8)*Hypothèses!$C$21</f>
        <v/>
      </c>
      <c r="G15" s="18">
        <f>-(G6+G7+G8)*Hypothèses!$C$21</f>
        <v/>
      </c>
      <c r="H15" s="18">
        <f>-(H6+H7+H8)*Hypothèses!$C$21</f>
        <v/>
      </c>
      <c r="I15" s="18">
        <f>-(I6+I7+I8)*Hypothèses!$C$21</f>
        <v/>
      </c>
      <c r="J15" s="18">
        <f>-(J6+J7+J8)*Hypothèses!$C$21</f>
        <v/>
      </c>
      <c r="K15" s="18">
        <f>-(K6+K7+K8)*Hypothèses!$C$21</f>
        <v/>
      </c>
      <c r="L15" s="18">
        <f>-(L6+L7+L8)*Hypothèses!$C$21</f>
        <v/>
      </c>
      <c r="M15" s="18">
        <f>-(M6+M7+M8)*Hypothèses!$C$21</f>
        <v/>
      </c>
      <c r="N15" s="18">
        <f>-(N6+N7+N8)*Hypothèses!$C$21</f>
        <v/>
      </c>
      <c r="O15" s="18">
        <f>-(O6+O7+O8)*Hypothèses!$C$21</f>
        <v/>
      </c>
      <c r="P15" s="18">
        <f>-(P6+P7+P8)*Hypothèses!$C$21</f>
        <v/>
      </c>
      <c r="Q15" s="18">
        <f>-(Q6+Q7+Q8)*Hypothèses!$C$21</f>
        <v/>
      </c>
      <c r="R15" s="18">
        <f>-(R6+R7+R8)*Hypothèses!$C$21</f>
        <v/>
      </c>
      <c r="S15" s="18">
        <f>-(S6+S7+S8)*Hypothèses!$C$21</f>
        <v/>
      </c>
      <c r="T15" s="18">
        <f>-(T6+T7+T8)*Hypothèses!$C$21</f>
        <v/>
      </c>
      <c r="U15" s="18">
        <f>-(U6+U7+U8)*Hypothèses!$C$21</f>
        <v/>
      </c>
      <c r="V15" s="18">
        <f>-(V6+V7+V8)*Hypothèses!$C$21</f>
        <v/>
      </c>
      <c r="W15" s="18">
        <f>-(W6+W7+W8)*Hypothèses!$C$21</f>
        <v/>
      </c>
      <c r="X15" s="18">
        <f>-(X6+X7+X8)*Hypothèses!$C$21</f>
        <v/>
      </c>
      <c r="Y15" s="18">
        <f>-(Y6+Y7+Y8)*Hypothèses!$C$21</f>
        <v/>
      </c>
    </row>
    <row r="16">
      <c r="A16" s="5">
        <f> Marge brute</f>
        <v/>
      </c>
      <c r="B16" s="16">
        <f>B12+B13+B14+B15</f>
        <v/>
      </c>
      <c r="C16" s="16">
        <f>C12+C13+C14+C15</f>
        <v/>
      </c>
      <c r="D16" s="16">
        <f>D12+D13+D14+D15</f>
        <v/>
      </c>
      <c r="E16" s="16">
        <f>E12+E13+E14+E15</f>
        <v/>
      </c>
      <c r="F16" s="16">
        <f>F12+F13+F14+F15</f>
        <v/>
      </c>
      <c r="G16" s="16">
        <f>G12+G13+G14+G15</f>
        <v/>
      </c>
      <c r="H16" s="16">
        <f>H12+H13+H14+H15</f>
        <v/>
      </c>
      <c r="I16" s="16">
        <f>I12+I13+I14+I15</f>
        <v/>
      </c>
      <c r="J16" s="16">
        <f>J12+J13+J14+J15</f>
        <v/>
      </c>
      <c r="K16" s="16">
        <f>K12+K13+K14+K15</f>
        <v/>
      </c>
      <c r="L16" s="16">
        <f>L12+L13+L14+L15</f>
        <v/>
      </c>
      <c r="M16" s="16">
        <f>M12+M13+M14+M15</f>
        <v/>
      </c>
      <c r="N16" s="16">
        <f>N12+N13+N14+N15</f>
        <v/>
      </c>
      <c r="O16" s="16">
        <f>O12+O13+O14+O15</f>
        <v/>
      </c>
      <c r="P16" s="16">
        <f>P12+P13+P14+P15</f>
        <v/>
      </c>
      <c r="Q16" s="16">
        <f>Q12+Q13+Q14+Q15</f>
        <v/>
      </c>
      <c r="R16" s="16">
        <f>R12+R13+R14+R15</f>
        <v/>
      </c>
      <c r="S16" s="16">
        <f>S12+S13+S14+S15</f>
        <v/>
      </c>
      <c r="T16" s="16">
        <f>T12+T13+T14+T15</f>
        <v/>
      </c>
      <c r="U16" s="16">
        <f>U12+U13+U14+U15</f>
        <v/>
      </c>
      <c r="V16" s="16">
        <f>V12+V13+V14+V15</f>
        <v/>
      </c>
      <c r="W16" s="16">
        <f>W12+W13+W14+W15</f>
        <v/>
      </c>
      <c r="X16" s="16">
        <f>X12+X13+X14+X15</f>
        <v/>
      </c>
      <c r="Y16" s="16">
        <f>Y12+Y13+Y14+Y15</f>
        <v/>
      </c>
    </row>
    <row r="17">
      <c r="A17" s="5" t="inlineStr">
        <is>
          <t>− CapEx (nouveaux clients)</t>
        </is>
      </c>
      <c r="B17" s="18">
        <f>-(B3*Hypothèses!$C$34+B4*Hypothèses!$C$35+B5*Hypothèses!$C$36)</f>
        <v/>
      </c>
      <c r="C17" s="18">
        <f>-(C3*Hypothèses!$C$34+C4*Hypothèses!$C$35+C5*Hypothèses!$C$36)</f>
        <v/>
      </c>
      <c r="D17" s="18">
        <f>-(D3*Hypothèses!$C$34+D4*Hypothèses!$C$35+D5*Hypothèses!$C$36)</f>
        <v/>
      </c>
      <c r="E17" s="18">
        <f>-(E3*Hypothèses!$C$34+E4*Hypothèses!$C$35+E5*Hypothèses!$C$36)</f>
        <v/>
      </c>
      <c r="F17" s="18">
        <f>-(F3*Hypothèses!$C$34+F4*Hypothèses!$C$35+F5*Hypothèses!$C$36)</f>
        <v/>
      </c>
      <c r="G17" s="18">
        <f>-(G3*Hypothèses!$C$34+G4*Hypothèses!$C$35+G5*Hypothèses!$C$36)</f>
        <v/>
      </c>
      <c r="H17" s="18">
        <f>-(H3*Hypothèses!$C$34+H4*Hypothèses!$C$35+H5*Hypothèses!$C$36)</f>
        <v/>
      </c>
      <c r="I17" s="18">
        <f>-(I3*Hypothèses!$C$34+I4*Hypothèses!$C$35+I5*Hypothèses!$C$36)</f>
        <v/>
      </c>
      <c r="J17" s="18">
        <f>-(J3*Hypothèses!$C$34+J4*Hypothèses!$C$35+J5*Hypothèses!$C$36)</f>
        <v/>
      </c>
      <c r="K17" s="18">
        <f>-(K3*Hypothèses!$C$34+K4*Hypothèses!$C$35+K5*Hypothèses!$C$36)</f>
        <v/>
      </c>
      <c r="L17" s="18">
        <f>-(L3*Hypothèses!$C$34+L4*Hypothèses!$C$35+L5*Hypothèses!$C$36)</f>
        <v/>
      </c>
      <c r="M17" s="18">
        <f>-(M3*Hypothèses!$C$34+M4*Hypothèses!$C$35+M5*Hypothèses!$C$36)</f>
        <v/>
      </c>
      <c r="N17" s="18">
        <f>-(N3*Hypothèses!$C$34+N4*Hypothèses!$C$35+N5*Hypothèses!$C$36)</f>
        <v/>
      </c>
      <c r="O17" s="18">
        <f>-(O3*Hypothèses!$C$34+O4*Hypothèses!$C$35+O5*Hypothèses!$C$36)</f>
        <v/>
      </c>
      <c r="P17" s="18">
        <f>-(P3*Hypothèses!$C$34+P4*Hypothèses!$C$35+P5*Hypothèses!$C$36)</f>
        <v/>
      </c>
      <c r="Q17" s="18">
        <f>-(Q3*Hypothèses!$C$34+Q4*Hypothèses!$C$35+Q5*Hypothèses!$C$36)</f>
        <v/>
      </c>
      <c r="R17" s="18">
        <f>-(R3*Hypothèses!$C$34+R4*Hypothèses!$C$35+R5*Hypothèses!$C$36)</f>
        <v/>
      </c>
      <c r="S17" s="18">
        <f>-(S3*Hypothèses!$C$34+S4*Hypothèses!$C$35+S5*Hypothèses!$C$36)</f>
        <v/>
      </c>
      <c r="T17" s="18">
        <f>-(T3*Hypothèses!$C$34+T4*Hypothèses!$C$35+T5*Hypothèses!$C$36)</f>
        <v/>
      </c>
      <c r="U17" s="18">
        <f>-(U3*Hypothèses!$C$34+U4*Hypothèses!$C$35+U5*Hypothèses!$C$36)</f>
        <v/>
      </c>
      <c r="V17" s="18">
        <f>-(V3*Hypothèses!$C$34+V4*Hypothèses!$C$35+V5*Hypothèses!$C$36)</f>
        <v/>
      </c>
      <c r="W17" s="18">
        <f>-(W3*Hypothèses!$C$34+W4*Hypothèses!$C$35+W5*Hypothèses!$C$36)</f>
        <v/>
      </c>
      <c r="X17" s="18">
        <f>-(X3*Hypothèses!$C$34+X4*Hypothèses!$C$35+X5*Hypothèses!$C$36)</f>
        <v/>
      </c>
      <c r="Y17" s="18">
        <f>-(Y3*Hypothèses!$C$34+Y4*Hypothèses!$C$35+Y5*Hypothèses!$C$36)</f>
        <v/>
      </c>
    </row>
    <row r="18">
      <c r="A18" s="5" t="inlineStr">
        <is>
          <t>+ Apport personnel</t>
        </is>
      </c>
      <c r="B18" s="18">
        <f>IF(B2&lt;=Hypothèses!$C$29,Hypothèses!$C$28,0)</f>
        <v/>
      </c>
      <c r="C18" s="18">
        <f>IF(C2&lt;=Hypothèses!$C$29,Hypothèses!$C$28,0)</f>
        <v/>
      </c>
      <c r="D18" s="18">
        <f>IF(D2&lt;=Hypothèses!$C$29,Hypothèses!$C$28,0)</f>
        <v/>
      </c>
      <c r="E18" s="18">
        <f>IF(E2&lt;=Hypothèses!$C$29,Hypothèses!$C$28,0)</f>
        <v/>
      </c>
      <c r="F18" s="18">
        <f>IF(F2&lt;=Hypothèses!$C$29,Hypothèses!$C$28,0)</f>
        <v/>
      </c>
      <c r="G18" s="18">
        <f>IF(G2&lt;=Hypothèses!$C$29,Hypothèses!$C$28,0)</f>
        <v/>
      </c>
      <c r="H18" s="18">
        <f>IF(H2&lt;=Hypothèses!$C$29,Hypothèses!$C$28,0)</f>
        <v/>
      </c>
      <c r="I18" s="18">
        <f>IF(I2&lt;=Hypothèses!$C$29,Hypothèses!$C$28,0)</f>
        <v/>
      </c>
      <c r="J18" s="18">
        <f>IF(J2&lt;=Hypothèses!$C$29,Hypothèses!$C$28,0)</f>
        <v/>
      </c>
      <c r="K18" s="18">
        <f>IF(K2&lt;=Hypothèses!$C$29,Hypothèses!$C$28,0)</f>
        <v/>
      </c>
      <c r="L18" s="18">
        <f>IF(L2&lt;=Hypothèses!$C$29,Hypothèses!$C$28,0)</f>
        <v/>
      </c>
      <c r="M18" s="18">
        <f>IF(M2&lt;=Hypothèses!$C$29,Hypothèses!$C$28,0)</f>
        <v/>
      </c>
      <c r="N18" s="18">
        <f>IF(N2&lt;=Hypothèses!$C$29,Hypothèses!$C$28,0)</f>
        <v/>
      </c>
      <c r="O18" s="18">
        <f>IF(O2&lt;=Hypothèses!$C$29,Hypothèses!$C$28,0)</f>
        <v/>
      </c>
      <c r="P18" s="18">
        <f>IF(P2&lt;=Hypothèses!$C$29,Hypothèses!$C$28,0)</f>
        <v/>
      </c>
      <c r="Q18" s="18">
        <f>IF(Q2&lt;=Hypothèses!$C$29,Hypothèses!$C$28,0)</f>
        <v/>
      </c>
      <c r="R18" s="18">
        <f>IF(R2&lt;=Hypothèses!$C$29,Hypothèses!$C$28,0)</f>
        <v/>
      </c>
      <c r="S18" s="18">
        <f>IF(S2&lt;=Hypothèses!$C$29,Hypothèses!$C$28,0)</f>
        <v/>
      </c>
      <c r="T18" s="18">
        <f>IF(T2&lt;=Hypothèses!$C$29,Hypothèses!$C$28,0)</f>
        <v/>
      </c>
      <c r="U18" s="18">
        <f>IF(U2&lt;=Hypothèses!$C$29,Hypothèses!$C$28,0)</f>
        <v/>
      </c>
      <c r="V18" s="18">
        <f>IF(V2&lt;=Hypothèses!$C$29,Hypothèses!$C$28,0)</f>
        <v/>
      </c>
      <c r="W18" s="18">
        <f>IF(W2&lt;=Hypothèses!$C$29,Hypothèses!$C$28,0)</f>
        <v/>
      </c>
      <c r="X18" s="18">
        <f>IF(X2&lt;=Hypothèses!$C$29,Hypothèses!$C$28,0)</f>
        <v/>
      </c>
      <c r="Y18" s="18">
        <f>IF(Y2&lt;=Hypothèses!$C$29,Hypothèses!$C$28,0)</f>
        <v/>
      </c>
    </row>
    <row r="19">
      <c r="A19" s="5">
        <f> Cash-flow net du mois</f>
        <v/>
      </c>
      <c r="B19" s="6">
        <f>B16+B17+B18</f>
        <v/>
      </c>
      <c r="C19" s="6">
        <f>C16+C17+C18</f>
        <v/>
      </c>
      <c r="D19" s="6">
        <f>D16+D17+D18</f>
        <v/>
      </c>
      <c r="E19" s="6">
        <f>E16+E17+E18</f>
        <v/>
      </c>
      <c r="F19" s="6">
        <f>F16+F17+F18</f>
        <v/>
      </c>
      <c r="G19" s="6">
        <f>G16+G17+G18</f>
        <v/>
      </c>
      <c r="H19" s="6">
        <f>H16+H17+H18</f>
        <v/>
      </c>
      <c r="I19" s="6">
        <f>I16+I17+I18</f>
        <v/>
      </c>
      <c r="J19" s="6">
        <f>J16+J17+J18</f>
        <v/>
      </c>
      <c r="K19" s="6">
        <f>K16+K17+K18</f>
        <v/>
      </c>
      <c r="L19" s="6">
        <f>L16+L17+L18</f>
        <v/>
      </c>
      <c r="M19" s="6">
        <f>M16+M17+M18</f>
        <v/>
      </c>
      <c r="N19" s="6">
        <f>N16+N17+N18</f>
        <v/>
      </c>
      <c r="O19" s="6">
        <f>O16+O17+O18</f>
        <v/>
      </c>
      <c r="P19" s="6">
        <f>P16+P17+P18</f>
        <v/>
      </c>
      <c r="Q19" s="6">
        <f>Q16+Q17+Q18</f>
        <v/>
      </c>
      <c r="R19" s="6">
        <f>R16+R17+R18</f>
        <v/>
      </c>
      <c r="S19" s="6">
        <f>S16+S17+S18</f>
        <v/>
      </c>
      <c r="T19" s="6">
        <f>T16+T17+T18</f>
        <v/>
      </c>
      <c r="U19" s="6">
        <f>U16+U17+U18</f>
        <v/>
      </c>
      <c r="V19" s="6">
        <f>V16+V17+V18</f>
        <v/>
      </c>
      <c r="W19" s="6">
        <f>W16+W17+W18</f>
        <v/>
      </c>
      <c r="X19" s="6">
        <f>X16+X17+X18</f>
        <v/>
      </c>
      <c r="Y19" s="6">
        <f>Y16+Y17+Y18</f>
        <v/>
      </c>
    </row>
    <row r="20">
      <c r="A20" s="5" t="inlineStr">
        <is>
          <t>TRÉSORERIE cumulée</t>
        </is>
      </c>
      <c r="B20" s="6">
        <f>Hypothèses!$C$27+B19</f>
        <v/>
      </c>
      <c r="C20" s="6">
        <f>B20+C19</f>
        <v/>
      </c>
      <c r="D20" s="6">
        <f>C20+D19</f>
        <v/>
      </c>
      <c r="E20" s="6">
        <f>D20+E19</f>
        <v/>
      </c>
      <c r="F20" s="6">
        <f>E20+F19</f>
        <v/>
      </c>
      <c r="G20" s="6">
        <f>F20+G19</f>
        <v/>
      </c>
      <c r="H20" s="6">
        <f>G20+H19</f>
        <v/>
      </c>
      <c r="I20" s="6">
        <f>H20+I19</f>
        <v/>
      </c>
      <c r="J20" s="6">
        <f>I20+J19</f>
        <v/>
      </c>
      <c r="K20" s="6">
        <f>J20+K19</f>
        <v/>
      </c>
      <c r="L20" s="6">
        <f>K20+L19</f>
        <v/>
      </c>
      <c r="M20" s="6">
        <f>L20+M19</f>
        <v/>
      </c>
      <c r="N20" s="6">
        <f>M20+N19</f>
        <v/>
      </c>
      <c r="O20" s="6">
        <f>N20+O19</f>
        <v/>
      </c>
      <c r="P20" s="6">
        <f>O20+P19</f>
        <v/>
      </c>
      <c r="Q20" s="6">
        <f>P20+Q19</f>
        <v/>
      </c>
      <c r="R20" s="6">
        <f>Q20+R19</f>
        <v/>
      </c>
      <c r="S20" s="6">
        <f>R20+S19</f>
        <v/>
      </c>
      <c r="T20" s="6">
        <f>S20+T19</f>
        <v/>
      </c>
      <c r="U20" s="6">
        <f>T20+U19</f>
        <v/>
      </c>
      <c r="V20" s="6">
        <f>U20+V19</f>
        <v/>
      </c>
      <c r="W20" s="6">
        <f>V20+W19</f>
        <v/>
      </c>
      <c r="X20" s="6">
        <f>W20+X19</f>
        <v/>
      </c>
      <c r="Y20" s="6">
        <f>X20+Y19</f>
        <v/>
      </c>
    </row>
    <row r="21">
      <c r="A21" s="5" t="inlineStr">
        <is>
          <t>Clients actifs (total)</t>
        </is>
      </c>
      <c r="B21" s="25">
        <f>B6+B7+B8</f>
        <v/>
      </c>
      <c r="C21" s="25">
        <f>C6+C7+C8</f>
        <v/>
      </c>
      <c r="D21" s="25">
        <f>D6+D7+D8</f>
        <v/>
      </c>
      <c r="E21" s="25">
        <f>E6+E7+E8</f>
        <v/>
      </c>
      <c r="F21" s="25">
        <f>F6+F7+F8</f>
        <v/>
      </c>
      <c r="G21" s="25">
        <f>G6+G7+G8</f>
        <v/>
      </c>
      <c r="H21" s="25">
        <f>H6+H7+H8</f>
        <v/>
      </c>
      <c r="I21" s="25">
        <f>I6+I7+I8</f>
        <v/>
      </c>
      <c r="J21" s="25">
        <f>J6+J7+J8</f>
        <v/>
      </c>
      <c r="K21" s="25">
        <f>K6+K7+K8</f>
        <v/>
      </c>
      <c r="L21" s="25">
        <f>L6+L7+L8</f>
        <v/>
      </c>
      <c r="M21" s="25">
        <f>M6+M7+M8</f>
        <v/>
      </c>
      <c r="N21" s="25">
        <f>N6+N7+N8</f>
        <v/>
      </c>
      <c r="O21" s="25">
        <f>O6+O7+O8</f>
        <v/>
      </c>
      <c r="P21" s="25">
        <f>P6+P7+P8</f>
        <v/>
      </c>
      <c r="Q21" s="25">
        <f>Q6+Q7+Q8</f>
        <v/>
      </c>
      <c r="R21" s="25">
        <f>R6+R7+R8</f>
        <v/>
      </c>
      <c r="S21" s="25">
        <f>S6+S7+S8</f>
        <v/>
      </c>
      <c r="T21" s="25">
        <f>T6+T7+T8</f>
        <v/>
      </c>
      <c r="U21" s="25">
        <f>U6+U7+U8</f>
        <v/>
      </c>
      <c r="V21" s="25">
        <f>V6+V7+V8</f>
        <v/>
      </c>
      <c r="W21" s="25">
        <f>W6+W7+W8</f>
        <v/>
      </c>
      <c r="X21" s="25">
        <f>X6+X7+X8</f>
        <v/>
      </c>
      <c r="Y21" s="25">
        <f>Y6+Y7+Y8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2026-07-05T02:25:31Z</dcterms:created>
  <dcterms:modified xmlns:dcterms="http://purl.org/dc/terms/" xmlns:xsi="http://www.w3.org/2001/XMLSchema-instance" xsi:type="dcterms:W3CDTF">2026-07-05T02:25:31Z</dcterms:modified>
</cp:coreProperties>
</file>